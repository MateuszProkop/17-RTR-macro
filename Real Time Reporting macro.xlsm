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croEnabledFolder\"/>
    </mc:Choice>
  </mc:AlternateContent>
  <xr:revisionPtr revIDLastSave="0" documentId="13_ncr:1_{A852FDE0-795A-456D-BFCB-2B34D4DC307A}" xr6:coauthVersionLast="47" xr6:coauthVersionMax="47" xr10:uidLastSave="{00000000-0000-0000-0000-000000000000}"/>
  <bookViews>
    <workbookView xWindow="-110" yWindow="-110" windowWidth="38620" windowHeight="21220" activeTab="1" xr2:uid="{00000000-000D-0000-FFFF-FFFF00000000}"/>
  </bookViews>
  <sheets>
    <sheet name="Start" sheetId="7" r:id="rId1"/>
    <sheet name="PWC" sheetId="1" r:id="rId2"/>
    <sheet name="S4" sheetId="3" r:id="rId3"/>
    <sheet name="non-reportable" sheetId="4" r:id="rId4"/>
    <sheet name="PWC status" sheetId="2" r:id="rId5"/>
    <sheet name="PWC vs S4" sheetId="5" r:id="rId6"/>
    <sheet name="S4 vs PWC" sheetId="6" r:id="rId7"/>
  </sheets>
  <definedNames>
    <definedName name="_xlnm._FilterDatabase" localSheetId="2" hidden="1">'S4'!#REF!</definedName>
  </definedNames>
  <calcPr calcId="191029"/>
  <pivotCaches>
    <pivotCache cacheId="3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B4" i="2"/>
  <c r="E2" i="5"/>
  <c r="D2" i="5"/>
  <c r="C2" i="5"/>
  <c r="B2" i="5"/>
  <c r="F2" i="5" l="1"/>
  <c r="F2" i="6"/>
  <c r="E2" i="6"/>
  <c r="C2" i="6"/>
  <c r="G2" i="6" s="1"/>
  <c r="G2" i="5" l="1"/>
  <c r="D2" i="6"/>
</calcChain>
</file>

<file path=xl/sharedStrings.xml><?xml version="1.0" encoding="utf-8"?>
<sst xmlns="http://schemas.openxmlformats.org/spreadsheetml/2006/main" count="27" uniqueCount="21">
  <si>
    <t>Status</t>
  </si>
  <si>
    <t>Row Labels</t>
  </si>
  <si>
    <t>Grand Total</t>
  </si>
  <si>
    <t>(All)</t>
  </si>
  <si>
    <t>Date of issue</t>
  </si>
  <si>
    <t>amount in PWC</t>
  </si>
  <si>
    <t>amount in S4</t>
  </si>
  <si>
    <t xml:space="preserve">Check </t>
  </si>
  <si>
    <t>multiplied</t>
  </si>
  <si>
    <t>Reported in PWC</t>
  </si>
  <si>
    <t>Check</t>
  </si>
  <si>
    <t>date of issue</t>
  </si>
  <si>
    <t>status</t>
  </si>
  <si>
    <t>Issue</t>
  </si>
  <si>
    <t>1. Download data from PWC Tool and S4 for HU11, CH21 HU, CH1A HU</t>
  </si>
  <si>
    <t>3. Paste PWC data to PWC tab and S4 data to S4 tab.</t>
  </si>
  <si>
    <t>5. Press "Update tabs" button</t>
  </si>
  <si>
    <t>4. Press "prepare data for analysis" button</t>
  </si>
  <si>
    <t>2. If needed, clear PWC, S4, non-reportable tabs with "Clear previous data" button</t>
  </si>
  <si>
    <t>6. Now you can autofill formulas in "PWC status", "PWC vs S4" and "S4 vs PWC" tabs (double click in the down-right corner)</t>
  </si>
  <si>
    <t>7. Analyze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</si>
</sst>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yyyy\.mm\.dd"/>
    <numFmt numFmtId="169" formatCode="yyyy\.mm\.dd\ hh:mm"/>
  </numFmts>
  <fonts count="1" x14ac:knownFonts="1"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2" borderId="0" xfId="0" applyNumberFormat="1" applyFill="1"/>
    <xf numFmtId="0" fontId="0" fillId="0" borderId="0" xfId="0" applyFill="1"/>
    <xf numFmtId="0" fontId="0" fillId="0" borderId="0" xfId="0"/>
    <xf numFmtId="168" fontId="0" fillId="0" borderId="0" xfId="0" applyNumberFormat="1"/>
    <xf numFmtId="169" fontId="0" fillId="0" borderId="0" xfId="0" applyNumberFormat="1"/>
  </cellXfs>
  <cellStyles count="1">
    <cellStyle name="Normal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1</xdr:row>
      <xdr:rowOff>12700</xdr:rowOff>
    </xdr:from>
    <xdr:to>
      <xdr:col>4</xdr:col>
      <xdr:colOff>603250</xdr:colOff>
      <xdr:row>4</xdr:row>
      <xdr:rowOff>171450</xdr:rowOff>
    </xdr:to>
    <xdr:sp macro="[0]!start.clearing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36715A1-665A-4F17-8B95-8762EF3CD585}"/>
            </a:ext>
          </a:extLst>
        </xdr:cNvPr>
        <xdr:cNvSpPr/>
      </xdr:nvSpPr>
      <xdr:spPr>
        <a:xfrm>
          <a:off x="615950" y="196850"/>
          <a:ext cx="2425700" cy="711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Clear</a:t>
          </a:r>
          <a:r>
            <a:rPr lang="pl-PL" sz="1100" baseline="0"/>
            <a:t> previous data</a:t>
          </a:r>
        </a:p>
      </xdr:txBody>
    </xdr:sp>
    <xdr:clientData/>
  </xdr:twoCellAnchor>
  <xdr:twoCellAnchor>
    <xdr:from>
      <xdr:col>1</xdr:col>
      <xdr:colOff>19050</xdr:colOff>
      <xdr:row>7</xdr:row>
      <xdr:rowOff>177800</xdr:rowOff>
    </xdr:from>
    <xdr:to>
      <xdr:col>4</xdr:col>
      <xdr:colOff>596900</xdr:colOff>
      <xdr:row>12</xdr:row>
      <xdr:rowOff>0</xdr:rowOff>
    </xdr:to>
    <xdr:sp macro="[0]!start.Prepa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3A06131-2B99-4D19-ACF0-6EEAF516BE34}"/>
            </a:ext>
          </a:extLst>
        </xdr:cNvPr>
        <xdr:cNvSpPr/>
      </xdr:nvSpPr>
      <xdr:spPr>
        <a:xfrm>
          <a:off x="628650" y="1466850"/>
          <a:ext cx="24066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aseline="0"/>
            <a:t>Prepare data for analysis</a:t>
          </a:r>
        </a:p>
      </xdr:txBody>
    </xdr:sp>
    <xdr:clientData/>
  </xdr:twoCellAnchor>
  <xdr:twoCellAnchor>
    <xdr:from>
      <xdr:col>1</xdr:col>
      <xdr:colOff>19050</xdr:colOff>
      <xdr:row>15</xdr:row>
      <xdr:rowOff>0</xdr:rowOff>
    </xdr:from>
    <xdr:to>
      <xdr:col>5</xdr:col>
      <xdr:colOff>12700</xdr:colOff>
      <xdr:row>19</xdr:row>
      <xdr:rowOff>0</xdr:rowOff>
    </xdr:to>
    <xdr:sp macro="[0]!start.updateTab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954481C-14B4-49BC-9F61-31392F557BCF}"/>
            </a:ext>
          </a:extLst>
        </xdr:cNvPr>
        <xdr:cNvSpPr/>
      </xdr:nvSpPr>
      <xdr:spPr>
        <a:xfrm>
          <a:off x="628650" y="2578100"/>
          <a:ext cx="2432050" cy="736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aseline="0"/>
            <a:t>Update tabs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kop, Mateusz" refreshedDate="45081.467566319443" createdVersion="7" refreshedVersion="7" minRefreshableVersion="3" recordCount="1" xr:uid="{C657869D-FBE7-4E94-8930-C3F033E8C2A5}">
  <cacheSource type="worksheet">
    <worksheetSource ref="A1:AD2" sheet="PWC"/>
  </cacheSource>
  <cacheFields count="30">
    <cacheField name="Invoice Number" numFmtId="0">
      <sharedItems containsSemiMixedTypes="0" containsString="0" containsNumber="1" containsInteger="1" minValue="123456" maxValue="123456" count="1">
        <n v="123456"/>
      </sharedItems>
    </cacheField>
    <cacheField name="Appearance" numFmtId="0">
      <sharedItems containsNonDate="0" containsString="0" containsBlank="1"/>
    </cacheField>
    <cacheField name="Category" numFmtId="0">
      <sharedItems containsNonDate="0" containsString="0" containsBlank="1"/>
    </cacheField>
    <cacheField name="Supplier Name" numFmtId="0">
      <sharedItems containsNonDate="0" containsString="0" containsBlank="1"/>
    </cacheField>
    <cacheField name="Supplier Tax Id" numFmtId="0">
      <sharedItems containsNonDate="0" containsString="0" containsBlank="1"/>
    </cacheField>
    <cacheField name="Customer Name" numFmtId="0">
      <sharedItems containsNonDate="0" containsString="0" containsBlank="1"/>
    </cacheField>
    <cacheField name="Customer Tax Id" numFmtId="0">
      <sharedItems containsNonDate="0" containsString="0" containsBlank="1"/>
    </cacheField>
    <cacheField name="Fiscal Represtative Name" numFmtId="0">
      <sharedItems containsNonDate="0" containsString="0" containsBlank="1"/>
    </cacheField>
    <cacheField name="Fiscal Represtative Tax Id" numFmtId="0">
      <sharedItems containsNonDate="0" containsString="0" containsBlank="1"/>
    </cacheField>
    <cacheField name="Date of Issue" numFmtId="168">
      <sharedItems containsNonDate="0" containsString="0" containsBlank="1"/>
    </cacheField>
    <cacheField name="Date of Delivery" numFmtId="168">
      <sharedItems containsNonDate="0" containsString="0" containsBlank="1"/>
    </cacheField>
    <cacheField name="Date of Reporting" numFmtId="169">
      <sharedItems containsNonDate="0" containsString="0" containsBlank="1"/>
    </cacheField>
    <cacheField name="Net Amount" numFmtId="0">
      <sharedItems containsSemiMixedTypes="0" containsString="0" containsNumber="1" containsInteger="1" minValue="123456" maxValue="123456"/>
    </cacheField>
    <cacheField name="Net Amount HUF" numFmtId="0">
      <sharedItems containsSemiMixedTypes="0" containsString="0" containsNumber="1" containsInteger="1" minValue="123456" maxValue="123456"/>
    </cacheField>
    <cacheField name="Vat Amount" numFmtId="0">
      <sharedItems containsSemiMixedTypes="0" containsString="0" containsNumber="1" containsInteger="1" minValue="123456" maxValue="123456"/>
    </cacheField>
    <cacheField name="Vat Amount HUF" numFmtId="0">
      <sharedItems containsSemiMixedTypes="0" containsString="0" containsNumber="1" containsInteger="1" minValue="123456" maxValue="123456"/>
    </cacheField>
    <cacheField name="Original Invoice Number" numFmtId="0">
      <sharedItems containsNonDate="0" containsString="0" containsBlank="1"/>
    </cacheField>
    <cacheField name="Item Line Number" numFmtId="0">
      <sharedItems containsNonDate="0" containsString="0" containsBlank="1"/>
    </cacheField>
    <cacheField name="Item Description" numFmtId="0">
      <sharedItems containsNonDate="0" containsString="0" containsBlank="1"/>
    </cacheField>
    <cacheField name="Item Net Amount" numFmtId="0">
      <sharedItems containsNonDate="0" containsString="0" containsBlank="1"/>
    </cacheField>
    <cacheField name="Item Net Amount HUF" numFmtId="0">
      <sharedItems containsNonDate="0" containsString="0" containsBlank="1"/>
    </cacheField>
    <cacheField name="Item Quantity" numFmtId="0">
      <sharedItems containsNonDate="0" containsString="0" containsBlank="1"/>
    </cacheField>
    <cacheField name="Item Unit Price" numFmtId="0">
      <sharedItems containsNonDate="0" containsString="0" containsBlank="1"/>
    </cacheField>
    <cacheField name="Item Vat Amount HUF" numFmtId="0">
      <sharedItems containsNonDate="0" containsString="0" containsBlank="1"/>
    </cacheField>
    <cacheField name="Item VatRate" numFmtId="0">
      <sharedItems containsNonDate="0" containsString="0" containsBlank="1"/>
    </cacheField>
    <cacheField name="Invoicing system" numFmtId="0">
      <sharedItems containsNonDate="0" containsString="0" containsBlank="1"/>
    </cacheField>
    <cacheField name="Transaction Id" numFmtId="0">
      <sharedItems containsNonDate="0" containsString="0" containsBlank="1"/>
    </cacheField>
    <cacheField name="Status" numFmtId="0">
      <sharedItems count="1">
        <s v="DONE"/>
      </sharedItems>
    </cacheField>
    <cacheField name="Status Details" numFmtId="0">
      <sharedItems containsNonDate="0" containsString="0" containsBlank="1"/>
    </cacheField>
    <cacheField name="Timestamp" numFmtId="169">
      <sharedItems containsSemiMixedTypes="0" containsNonDate="0" containsDate="1" containsString="0" minDate="2023-05-29T06:39:22" maxDate="2023-05-29T06:39: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n v="123456"/>
    <n v="123456"/>
    <n v="123456"/>
    <n v="123456"/>
    <m/>
    <m/>
    <m/>
    <m/>
    <m/>
    <m/>
    <m/>
    <m/>
    <m/>
    <m/>
    <m/>
    <x v="0"/>
    <m/>
    <d v="2023-05-29T06:39: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3F405-3BA6-450E-8879-3341B2F247CF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A5" firstHeaderRow="1" firstDataRow="1" firstDataCol="1" rowPageCount="1" colPageCount="1"/>
  <pivotFields count="30"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numFmtId="169" showAll="0"/>
  </pivotFields>
  <rowFields count="1">
    <field x="0"/>
  </rowFields>
  <rowItems count="2">
    <i>
      <x/>
    </i>
    <i t="grand">
      <x/>
    </i>
  </rowItems>
  <colItems count="1">
    <i/>
  </colItems>
  <pageFields count="1">
    <pageField fld="27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22F14-F927-4BC9-871D-F9A9F4C79658}" name="PivotTable2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A3" firstHeaderRow="1" firstDataRow="1" firstDataCol="1"/>
  <pivotFields count="30"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</pivotFields>
  <rowFields count="1">
    <field x="0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E8900-A1F1-4B4A-B7A7-CFD00130FB2C}">
  <sheetPr codeName="start"/>
  <dimension ref="H2:H8"/>
  <sheetViews>
    <sheetView workbookViewId="0">
      <selection activeCell="I20" sqref="I20"/>
    </sheetView>
  </sheetViews>
  <sheetFormatPr defaultRowHeight="14.5" x14ac:dyDescent="0.35"/>
  <sheetData>
    <row r="2" spans="8:8" x14ac:dyDescent="0.35">
      <c r="H2" t="s">
        <v>14</v>
      </c>
    </row>
    <row r="3" spans="8:8" x14ac:dyDescent="0.35">
      <c r="H3" t="s">
        <v>18</v>
      </c>
    </row>
    <row r="4" spans="8:8" x14ac:dyDescent="0.35">
      <c r="H4" t="s">
        <v>15</v>
      </c>
    </row>
    <row r="5" spans="8:8" x14ac:dyDescent="0.35">
      <c r="H5" t="s">
        <v>17</v>
      </c>
    </row>
    <row r="6" spans="8:8" x14ac:dyDescent="0.35">
      <c r="H6" t="s">
        <v>16</v>
      </c>
    </row>
    <row r="7" spans="8:8" x14ac:dyDescent="0.35">
      <c r="H7" t="s">
        <v>19</v>
      </c>
    </row>
    <row r="8" spans="8:8" x14ac:dyDescent="0.35">
      <c r="H8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PWC"/>
  <dimension ref="A1:AD2"/>
  <sheetViews>
    <sheetView tabSelected="1" workbookViewId="0">
      <selection activeCell="B5" sqref="B5"/>
    </sheetView>
  </sheetViews>
  <sheetFormatPr defaultRowHeight="14.5" x14ac:dyDescent="0.35"/>
  <cols>
    <col min="1" max="1" width="14.08984375" bestFit="1" customWidth="1"/>
    <col min="2" max="2" width="10.81640625" bestFit="1" customWidth="1"/>
    <col min="3" max="3" width="8.26953125" bestFit="1" customWidth="1"/>
    <col min="4" max="4" width="41.81640625" bestFit="1" customWidth="1"/>
    <col min="5" max="5" width="13.1796875" bestFit="1" customWidth="1"/>
    <col min="6" max="6" width="55.453125" bestFit="1" customWidth="1"/>
    <col min="7" max="7" width="14.453125" bestFit="1" customWidth="1"/>
    <col min="8" max="8" width="21.7265625" bestFit="1" customWidth="1"/>
    <col min="9" max="9" width="21.81640625" bestFit="1" customWidth="1"/>
    <col min="10" max="10" width="11.6328125" bestFit="1" customWidth="1"/>
    <col min="11" max="11" width="14.1796875" bestFit="1" customWidth="1"/>
    <col min="12" max="12" width="15.54296875" bestFit="1" customWidth="1"/>
    <col min="13" max="13" width="11.90625" bestFit="1" customWidth="1"/>
    <col min="14" max="14" width="14.90625" bestFit="1" customWidth="1"/>
    <col min="15" max="15" width="10.7265625" bestFit="1" customWidth="1"/>
    <col min="16" max="16" width="14.7265625" bestFit="1" customWidth="1"/>
    <col min="17" max="17" width="21.1796875" bestFit="1" customWidth="1"/>
    <col min="18" max="18" width="15.81640625" bestFit="1" customWidth="1"/>
    <col min="19" max="19" width="47.7265625" bestFit="1" customWidth="1"/>
    <col min="20" max="20" width="15.26953125" bestFit="1" customWidth="1"/>
    <col min="21" max="21" width="19.26953125" bestFit="1" customWidth="1"/>
    <col min="22" max="22" width="12.26953125" bestFit="1" customWidth="1"/>
    <col min="23" max="23" width="13.08984375" bestFit="1" customWidth="1"/>
    <col min="24" max="24" width="19.08984375" bestFit="1" customWidth="1"/>
    <col min="25" max="25" width="52" bestFit="1" customWidth="1"/>
    <col min="26" max="26" width="14.54296875" bestFit="1" customWidth="1"/>
    <col min="27" max="27" width="20.6328125" bestFit="1" customWidth="1"/>
    <col min="28" max="28" width="13.36328125" bestFit="1" customWidth="1"/>
    <col min="29" max="29" width="255.6328125" bestFit="1" customWidth="1"/>
    <col min="30" max="30" width="15" bestFit="1" customWidth="1"/>
  </cols>
  <sheetData>
    <row r="1" spans="1:30" x14ac:dyDescent="0.3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</row>
    <row r="2" spans="1:30" x14ac:dyDescent="0.35">
      <c r="A2" s="7"/>
      <c r="B2" s="7"/>
      <c r="C2" s="7"/>
      <c r="D2" s="7"/>
      <c r="E2" s="7"/>
      <c r="F2" s="7"/>
      <c r="G2" s="7"/>
      <c r="H2" s="7"/>
      <c r="I2" s="7"/>
      <c r="J2" s="8"/>
      <c r="K2" s="8"/>
      <c r="L2" s="9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12D17-FBA8-4AED-8B1D-BC55ED70A866}">
  <sheetPr codeName="dataS4"/>
  <dimension ref="A1"/>
  <sheetViews>
    <sheetView workbookViewId="0">
      <selection activeCell="D36" sqref="D36"/>
    </sheetView>
  </sheetViews>
  <sheetFormatPr defaultRowHeight="14.5" x14ac:dyDescent="0.35"/>
  <cols>
    <col min="1" max="1" width="15.81640625" bestFit="1" customWidth="1"/>
    <col min="2" max="2" width="9" bestFit="1" customWidth="1"/>
    <col min="3" max="3" width="10.54296875" bestFit="1" customWidth="1"/>
    <col min="4" max="4" width="17.81640625" bestFit="1" customWidth="1"/>
    <col min="6" max="6" width="11.7265625" bestFit="1" customWidth="1"/>
    <col min="7" max="7" width="13.453125" bestFit="1" customWidth="1"/>
    <col min="8" max="8" width="10.7265625" bestFit="1" customWidth="1"/>
    <col min="9" max="9" width="43.7265625" bestFit="1" customWidth="1"/>
    <col min="10" max="10" width="11.1796875" bestFit="1" customWidth="1"/>
    <col min="11" max="11" width="31.1796875" bestFit="1" customWidth="1"/>
    <col min="12" max="12" width="19.08984375" bestFit="1" customWidth="1"/>
    <col min="13" max="13" width="20.453125" bestFit="1" customWidth="1"/>
    <col min="14" max="14" width="17.7265625" bestFit="1" customWidth="1"/>
    <col min="15" max="15" width="18.08984375" bestFit="1" customWidth="1"/>
    <col min="16" max="16" width="22.81640625" bestFit="1" customWidth="1"/>
    <col min="17" max="17" width="16.1796875" bestFit="1" customWidth="1"/>
    <col min="18" max="18" width="19" bestFit="1" customWidth="1"/>
    <col min="19" max="19" width="10.1796875" bestFit="1" customWidth="1"/>
    <col min="20" max="20" width="10.453125" bestFit="1" customWidth="1"/>
    <col min="21" max="21" width="16.26953125" bestFit="1" customWidth="1"/>
    <col min="22" max="22" width="10.54296875" bestFit="1" customWidth="1"/>
    <col min="23" max="23" width="17.26953125" bestFit="1" customWidth="1"/>
    <col min="24" max="24" width="12.81640625" bestFit="1" customWidth="1"/>
    <col min="25" max="25" width="9.6328125" bestFit="1" customWidth="1"/>
    <col min="26" max="26" width="16.81640625" bestFit="1" customWidth="1"/>
    <col min="27" max="27" width="12.36328125" bestFit="1" customWidth="1"/>
    <col min="28" max="28" width="9.7265625" bestFit="1" customWidth="1"/>
    <col min="29" max="29" width="17.08984375" bestFit="1" customWidth="1"/>
    <col min="30" max="30" width="12.6328125" bestFit="1" customWidth="1"/>
    <col min="31" max="31" width="10" bestFit="1" customWidth="1"/>
    <col min="32" max="33" width="13.1796875" bestFit="1" customWidth="1"/>
    <col min="34" max="34" width="12.81640625" bestFit="1" customWidth="1"/>
    <col min="35" max="35" width="14.1796875" bestFit="1" customWidth="1"/>
    <col min="36" max="36" width="20.81640625" bestFit="1" customWidth="1"/>
    <col min="37" max="37" width="10.1796875" bestFit="1" customWidth="1"/>
    <col min="38" max="38" width="10.26953125" bestFit="1" customWidth="1"/>
    <col min="39" max="39" width="12.36328125" bestFit="1" customWidth="1"/>
    <col min="40" max="40" width="19.453125" bestFit="1" customWidth="1"/>
    <col min="41" max="41" width="18.54296875" bestFit="1" customWidth="1"/>
    <col min="42" max="42" width="10.7265625" bestFit="1" customWidth="1"/>
    <col min="43" max="43" width="15.36328125" bestFit="1" customWidth="1"/>
    <col min="44" max="44" width="31.1796875" bestFit="1" customWidth="1"/>
    <col min="45" max="45" width="9.7265625" bestFit="1" customWidth="1"/>
    <col min="46" max="46" width="16.6328125" bestFit="1" customWidth="1"/>
    <col min="47" max="47" width="10.81640625" bestFit="1" customWidth="1"/>
    <col min="48" max="48" width="18.1796875" bestFit="1" customWidth="1"/>
    <col min="49" max="49" width="16.1796875" bestFit="1" customWidth="1"/>
    <col min="50" max="50" width="10.81640625" bestFit="1" customWidth="1"/>
    <col min="51" max="51" width="30.36328125" bestFit="1" customWidth="1"/>
    <col min="52" max="52" width="20.26953125" bestFit="1" customWidth="1"/>
    <col min="53" max="53" width="31.26953125" bestFit="1" customWidth="1"/>
    <col min="54" max="54" width="21.08984375" bestFit="1" customWidth="1"/>
    <col min="55" max="55" width="15.36328125" bestFit="1" customWidth="1"/>
    <col min="56" max="56" width="9.7265625" bestFit="1" customWidth="1"/>
    <col min="57" max="57" width="16.6328125" bestFit="1" customWidth="1"/>
    <col min="58" max="58" width="28.81640625" bestFit="1" customWidth="1"/>
    <col min="59" max="59" width="19.26953125" bestFit="1" customWidth="1"/>
    <col min="60" max="60" width="10.81640625" bestFit="1" customWidth="1"/>
    <col min="61" max="61" width="19.36328125" bestFit="1" customWidth="1"/>
    <col min="62" max="62" width="16.54296875" bestFit="1" customWidth="1"/>
    <col min="63" max="63" width="21.453125" bestFit="1" customWidth="1"/>
    <col min="64" max="64" width="21.08984375" bestFit="1" customWidth="1"/>
    <col min="65" max="65" width="11" bestFit="1" customWidth="1"/>
    <col min="66" max="66" width="14.453125" bestFit="1" customWidth="1"/>
    <col min="67" max="67" width="18.453125" bestFit="1" customWidth="1"/>
    <col min="68" max="68" width="15.1796875" bestFit="1" customWidth="1"/>
    <col min="69" max="69" width="14.7265625" bestFit="1" customWidth="1"/>
    <col min="70" max="70" width="14.6328125" bestFit="1" customWidth="1"/>
    <col min="71" max="71" width="10.81640625" bestFit="1" customWidth="1"/>
    <col min="72" max="72" width="10.6328125" bestFit="1" customWidth="1"/>
    <col min="73" max="73" width="9.08984375" bestFit="1" customWidth="1"/>
    <col min="74" max="74" width="11.7265625" bestFit="1" customWidth="1"/>
    <col min="75" max="75" width="20.26953125" bestFit="1" customWidth="1"/>
    <col min="76" max="76" width="15.90625" bestFit="1" customWidth="1"/>
    <col min="77" max="78" width="14.7265625" bestFit="1" customWidth="1"/>
    <col min="79" max="79" width="19.453125" bestFit="1" customWidth="1"/>
    <col min="80" max="80" width="22.08984375" bestFit="1" customWidth="1"/>
    <col min="81" max="81" width="28.7265625" bestFit="1" customWidth="1"/>
    <col min="82" max="82" width="10.81640625" bestFit="1" customWidth="1"/>
    <col min="83" max="83" width="12.81640625" bestFit="1" customWidth="1"/>
    <col min="84" max="84" width="28" bestFit="1" customWidth="1"/>
    <col min="85" max="85" width="5.90625" bestFit="1" customWidth="1"/>
    <col min="86" max="86" width="10.6328125" bestFit="1" customWidth="1"/>
    <col min="87" max="87" width="15.4531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9BB20-BE27-40DE-8467-E456DE2E8BFC}">
  <sheetPr codeName="nonreportableS4"/>
  <dimension ref="A1"/>
  <sheetViews>
    <sheetView workbookViewId="0">
      <selection activeCell="G25" sqref="G25"/>
    </sheetView>
  </sheetViews>
  <sheetFormatPr defaultRowHeight="14.5" x14ac:dyDescent="0.35"/>
  <cols>
    <col min="1" max="1" width="5.36328125" bestFit="1" customWidth="1"/>
    <col min="2" max="2" width="3.36328125" bestFit="1" customWidth="1"/>
    <col min="3" max="3" width="4.26953125" bestFit="1" customWidth="1"/>
    <col min="4" max="4" width="15" bestFit="1" customWidth="1"/>
    <col min="5" max="5" width="1.81640625" bestFit="1" customWidth="1"/>
    <col min="6" max="6" width="4.81640625" bestFit="1" customWidth="1"/>
    <col min="7" max="7" width="9.90625" bestFit="1" customWidth="1"/>
    <col min="8" max="8" width="3.08984375" bestFit="1" customWidth="1"/>
    <col min="9" max="9" width="41.26953125" bestFit="1" customWidth="1"/>
    <col min="10" max="10" width="8.36328125" bestFit="1" customWidth="1"/>
    <col min="11" max="11" width="18.90625" bestFit="1" customWidth="1"/>
    <col min="12" max="12" width="10.81640625" bestFit="1" customWidth="1"/>
    <col min="13" max="14" width="17.7265625" bestFit="1" customWidth="1"/>
    <col min="15" max="15" width="13.1796875" bestFit="1" customWidth="1"/>
    <col min="16" max="16" width="22.81640625" bestFit="1" customWidth="1"/>
    <col min="17" max="18" width="9.90625" bestFit="1" customWidth="1"/>
    <col min="19" max="19" width="4.26953125" bestFit="1" customWidth="1"/>
    <col min="20" max="21" width="7" bestFit="1" customWidth="1"/>
    <col min="22" max="22" width="4.26953125" bestFit="1" customWidth="1"/>
    <col min="23" max="24" width="7" bestFit="1" customWidth="1"/>
    <col min="25" max="25" width="4.26953125" bestFit="1" customWidth="1"/>
    <col min="26" max="27" width="7" bestFit="1" customWidth="1"/>
    <col min="28" max="28" width="4.26953125" bestFit="1" customWidth="1"/>
    <col min="29" max="29" width="9.36328125" bestFit="1" customWidth="1"/>
    <col min="30" max="30" width="7.90625" bestFit="1" customWidth="1"/>
    <col min="31" max="31" width="3.08984375" bestFit="1" customWidth="1"/>
    <col min="32" max="32" width="7.81640625" bestFit="1" customWidth="1"/>
    <col min="33" max="33" width="10.81640625" bestFit="1" customWidth="1"/>
    <col min="34" max="34" width="4.7265625" bestFit="1" customWidth="1"/>
    <col min="37" max="37" width="6.26953125" bestFit="1" customWidth="1"/>
    <col min="38" max="38" width="2.08984375" bestFit="1" customWidth="1"/>
    <col min="39" max="40" width="7.90625" bestFit="1" customWidth="1"/>
    <col min="43" max="43" width="8.453125" bestFit="1" customWidth="1"/>
    <col min="44" max="44" width="21.81640625" bestFit="1" customWidth="1"/>
    <col min="45" max="45" width="3.36328125" bestFit="1" customWidth="1"/>
    <col min="46" max="46" width="11.453125" bestFit="1" customWidth="1"/>
    <col min="47" max="47" width="10.81640625" bestFit="1" customWidth="1"/>
    <col min="48" max="48" width="8.81640625" bestFit="1" customWidth="1"/>
    <col min="50" max="50" width="10.81640625" bestFit="1" customWidth="1"/>
    <col min="51" max="51" width="30.36328125" bestFit="1" customWidth="1"/>
    <col min="52" max="52" width="19.54296875" bestFit="1" customWidth="1"/>
    <col min="53" max="54" width="10.81640625" bestFit="1" customWidth="1"/>
    <col min="55" max="55" width="8.453125" bestFit="1" customWidth="1"/>
    <col min="56" max="56" width="3.36328125" bestFit="1" customWidth="1"/>
    <col min="57" max="57" width="8.6328125" bestFit="1" customWidth="1"/>
    <col min="58" max="58" width="17.1796875" bestFit="1" customWidth="1"/>
    <col min="60" max="60" width="6.81640625" bestFit="1" customWidth="1"/>
    <col min="62" max="62" width="5.36328125" bestFit="1" customWidth="1"/>
    <col min="63" max="63" width="10.81640625" bestFit="1" customWidth="1"/>
    <col min="64" max="64" width="10.6328125" bestFit="1" customWidth="1"/>
    <col min="65" max="65" width="11" bestFit="1" customWidth="1"/>
    <col min="66" max="66" width="14.453125" bestFit="1" customWidth="1"/>
    <col min="75" max="75" width="12.08984375" bestFit="1" customWidth="1"/>
    <col min="76" max="76" width="15" bestFit="1" customWidth="1"/>
    <col min="81" max="81" width="28.7265625" bestFit="1" customWidth="1"/>
    <col min="82" max="82" width="6.7265625" bestFit="1" customWidth="1"/>
    <col min="83" max="83" width="4.81640625" bestFit="1" customWidth="1"/>
    <col min="84" max="84" width="22.453125" bestFit="1" customWidth="1"/>
    <col min="85" max="85" width="3.1796875" bestFit="1" customWidth="1"/>
    <col min="86" max="86" width="7.453125" bestFit="1" customWidth="1"/>
    <col min="87" max="87" width="9.9062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8AF91-16E1-4943-97AC-55A8ECFAADC3}">
  <sheetPr codeName="statusPWC">
    <tabColor rgb="FF92D050"/>
  </sheetPr>
  <dimension ref="A1:D5"/>
  <sheetViews>
    <sheetView workbookViewId="0">
      <selection activeCell="E7" sqref="E7"/>
    </sheetView>
  </sheetViews>
  <sheetFormatPr defaultRowHeight="14.5" x14ac:dyDescent="0.35"/>
  <cols>
    <col min="1" max="1" width="12.36328125" bestFit="1" customWidth="1"/>
    <col min="2" max="2" width="11.54296875" bestFit="1" customWidth="1"/>
  </cols>
  <sheetData>
    <row r="1" spans="1:4" x14ac:dyDescent="0.35">
      <c r="A1" s="2" t="s">
        <v>0</v>
      </c>
      <c r="B1" s="7" t="s">
        <v>3</v>
      </c>
    </row>
    <row r="3" spans="1:4" x14ac:dyDescent="0.35">
      <c r="A3" s="2" t="s">
        <v>1</v>
      </c>
      <c r="B3" t="s">
        <v>4</v>
      </c>
      <c r="C3" t="s">
        <v>0</v>
      </c>
      <c r="D3" t="s">
        <v>13</v>
      </c>
    </row>
    <row r="4" spans="1:4" x14ac:dyDescent="0.35">
      <c r="A4" s="3">
        <v>123456</v>
      </c>
      <c r="B4" s="4" t="e">
        <f>VLOOKUP(A4,PWC!A:J,10,0)</f>
        <v>#N/A</v>
      </c>
      <c r="C4" t="e">
        <f>VLOOKUP(A4,PWC!A:AB,28,0)</f>
        <v>#N/A</v>
      </c>
    </row>
    <row r="5" spans="1:4" x14ac:dyDescent="0.35">
      <c r="A5" s="3" t="s">
        <v>2</v>
      </c>
    </row>
  </sheetData>
  <conditionalFormatting sqref="B3">
    <cfRule type="cellIs" dxfId="13" priority="1" operator="lessThan">
      <formula>44775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31C67-EEFA-4713-94AE-C252F70F00F8}">
  <sheetPr codeName="reportPWCvsS4">
    <tabColor rgb="FF92D050"/>
  </sheetPr>
  <dimension ref="A1:H136"/>
  <sheetViews>
    <sheetView workbookViewId="0">
      <selection activeCell="I19" sqref="I19"/>
    </sheetView>
  </sheetViews>
  <sheetFormatPr defaultRowHeight="14.5" x14ac:dyDescent="0.35"/>
  <cols>
    <col min="1" max="1" width="12.36328125" bestFit="1" customWidth="1"/>
    <col min="2" max="2" width="11.54296875" bestFit="1" customWidth="1"/>
    <col min="4" max="4" width="13.81640625" bestFit="1" customWidth="1"/>
    <col min="5" max="5" width="11.7265625" bestFit="1" customWidth="1"/>
    <col min="8" max="8" width="10.54296875" bestFit="1" customWidth="1"/>
  </cols>
  <sheetData>
    <row r="1" spans="1:8" x14ac:dyDescent="0.35">
      <c r="A1" s="2" t="s">
        <v>1</v>
      </c>
      <c r="B1" t="s">
        <v>4</v>
      </c>
      <c r="C1" t="s">
        <v>0</v>
      </c>
      <c r="D1" t="s">
        <v>5</v>
      </c>
      <c r="E1" t="s">
        <v>6</v>
      </c>
      <c r="F1" t="s">
        <v>7</v>
      </c>
      <c r="G1" t="s">
        <v>8</v>
      </c>
    </row>
    <row r="2" spans="1:8" x14ac:dyDescent="0.35">
      <c r="A2" s="3">
        <v>123456</v>
      </c>
      <c r="B2" s="4" t="e">
        <f>VLOOKUP(A2,PWC!A:J,10,0)</f>
        <v>#N/A</v>
      </c>
      <c r="C2" t="e">
        <f>VLOOKUP(A2,PWC!A:AB,28,0)</f>
        <v>#N/A</v>
      </c>
      <c r="D2" t="e">
        <f>ROUND(VLOOKUP(A2,PWC!A:P,16,0),0)</f>
        <v>#N/A</v>
      </c>
      <c r="E2" t="e">
        <f>-VLOOKUP(A2,'S4'!N:AD,17,0)</f>
        <v>#N/A</v>
      </c>
      <c r="F2" s="6" t="e">
        <f>IF(D2=E2,"yes","no")</f>
        <v>#N/A</v>
      </c>
      <c r="G2" s="6" t="e">
        <f>E2/D2</f>
        <v>#N/A</v>
      </c>
      <c r="H2" s="6"/>
    </row>
    <row r="3" spans="1:8" x14ac:dyDescent="0.35">
      <c r="A3" s="3" t="s">
        <v>2</v>
      </c>
      <c r="B3" s="4"/>
      <c r="F3" s="6"/>
      <c r="G3" s="6"/>
      <c r="H3" s="6"/>
    </row>
    <row r="4" spans="1:8" x14ac:dyDescent="0.35">
      <c r="B4" s="4"/>
      <c r="F4" s="6"/>
      <c r="G4" s="6"/>
      <c r="H4" s="6"/>
    </row>
    <row r="5" spans="1:8" x14ac:dyDescent="0.35">
      <c r="B5" s="4"/>
      <c r="F5" s="6"/>
      <c r="G5" s="6"/>
      <c r="H5" s="6"/>
    </row>
    <row r="6" spans="1:8" x14ac:dyDescent="0.35">
      <c r="B6" s="4"/>
    </row>
    <row r="7" spans="1:8" x14ac:dyDescent="0.35">
      <c r="B7" s="4"/>
    </row>
    <row r="8" spans="1:8" x14ac:dyDescent="0.35">
      <c r="B8" s="4"/>
    </row>
    <row r="9" spans="1:8" x14ac:dyDescent="0.35">
      <c r="B9" s="4"/>
    </row>
    <row r="10" spans="1:8" x14ac:dyDescent="0.35">
      <c r="B10" s="4"/>
    </row>
    <row r="11" spans="1:8" x14ac:dyDescent="0.35">
      <c r="B11" s="4"/>
    </row>
    <row r="12" spans="1:8" x14ac:dyDescent="0.35">
      <c r="B12" s="4"/>
    </row>
    <row r="13" spans="1:8" x14ac:dyDescent="0.35">
      <c r="B13" s="4"/>
    </row>
    <row r="14" spans="1:8" x14ac:dyDescent="0.35">
      <c r="B14" s="4"/>
    </row>
    <row r="15" spans="1:8" x14ac:dyDescent="0.35">
      <c r="B15" s="4"/>
    </row>
    <row r="16" spans="1:8" x14ac:dyDescent="0.35">
      <c r="B16" s="4"/>
    </row>
    <row r="17" spans="2:2" x14ac:dyDescent="0.35">
      <c r="B17" s="4"/>
    </row>
    <row r="18" spans="2:2" x14ac:dyDescent="0.35">
      <c r="B18" s="4"/>
    </row>
    <row r="19" spans="2:2" x14ac:dyDescent="0.35">
      <c r="B19" s="4"/>
    </row>
    <row r="20" spans="2:2" x14ac:dyDescent="0.35">
      <c r="B20" s="4"/>
    </row>
    <row r="21" spans="2:2" x14ac:dyDescent="0.35">
      <c r="B21" s="4"/>
    </row>
    <row r="22" spans="2:2" x14ac:dyDescent="0.35">
      <c r="B22" s="4"/>
    </row>
    <row r="23" spans="2:2" x14ac:dyDescent="0.35">
      <c r="B23" s="4"/>
    </row>
    <row r="24" spans="2:2" x14ac:dyDescent="0.35">
      <c r="B24" s="4"/>
    </row>
    <row r="25" spans="2:2" x14ac:dyDescent="0.35">
      <c r="B25" s="4"/>
    </row>
    <row r="26" spans="2:2" x14ac:dyDescent="0.35">
      <c r="B26" s="4"/>
    </row>
    <row r="27" spans="2:2" x14ac:dyDescent="0.35">
      <c r="B27" s="4"/>
    </row>
    <row r="28" spans="2:2" x14ac:dyDescent="0.35">
      <c r="B28" s="4"/>
    </row>
    <row r="29" spans="2:2" x14ac:dyDescent="0.35">
      <c r="B29" s="4"/>
    </row>
    <row r="30" spans="2:2" x14ac:dyDescent="0.35">
      <c r="B30" s="4"/>
    </row>
    <row r="31" spans="2:2" x14ac:dyDescent="0.35">
      <c r="B31" s="4"/>
    </row>
    <row r="32" spans="2:2" x14ac:dyDescent="0.35">
      <c r="B32" s="4"/>
    </row>
    <row r="33" spans="2:2" x14ac:dyDescent="0.35">
      <c r="B33" s="4"/>
    </row>
    <row r="34" spans="2:2" x14ac:dyDescent="0.35">
      <c r="B34" s="4"/>
    </row>
    <row r="35" spans="2:2" x14ac:dyDescent="0.35">
      <c r="B35" s="4"/>
    </row>
    <row r="36" spans="2:2" x14ac:dyDescent="0.35">
      <c r="B36" s="4"/>
    </row>
    <row r="37" spans="2:2" x14ac:dyDescent="0.35">
      <c r="B37" s="4"/>
    </row>
    <row r="38" spans="2:2" x14ac:dyDescent="0.35">
      <c r="B38" s="4"/>
    </row>
    <row r="39" spans="2:2" x14ac:dyDescent="0.35">
      <c r="B39" s="4"/>
    </row>
    <row r="40" spans="2:2" x14ac:dyDescent="0.35">
      <c r="B40" s="4"/>
    </row>
    <row r="41" spans="2:2" x14ac:dyDescent="0.35">
      <c r="B41" s="4"/>
    </row>
    <row r="42" spans="2:2" x14ac:dyDescent="0.35">
      <c r="B42" s="4"/>
    </row>
    <row r="43" spans="2:2" x14ac:dyDescent="0.35">
      <c r="B43" s="4"/>
    </row>
    <row r="44" spans="2:2" x14ac:dyDescent="0.35">
      <c r="B44" s="4"/>
    </row>
    <row r="45" spans="2:2" x14ac:dyDescent="0.35">
      <c r="B45" s="4"/>
    </row>
    <row r="46" spans="2:2" x14ac:dyDescent="0.35">
      <c r="B46" s="4"/>
    </row>
    <row r="47" spans="2:2" x14ac:dyDescent="0.35">
      <c r="B47" s="4"/>
    </row>
    <row r="48" spans="2:2" x14ac:dyDescent="0.35">
      <c r="B48" s="4"/>
    </row>
    <row r="49" spans="2:2" x14ac:dyDescent="0.35">
      <c r="B49" s="4"/>
    </row>
    <row r="50" spans="2:2" x14ac:dyDescent="0.35">
      <c r="B50" s="4"/>
    </row>
    <row r="51" spans="2:2" x14ac:dyDescent="0.35">
      <c r="B51" s="4"/>
    </row>
    <row r="52" spans="2:2" x14ac:dyDescent="0.35">
      <c r="B52" s="4"/>
    </row>
    <row r="53" spans="2:2" x14ac:dyDescent="0.35">
      <c r="B53" s="4"/>
    </row>
    <row r="54" spans="2:2" x14ac:dyDescent="0.35">
      <c r="B54" s="4"/>
    </row>
    <row r="55" spans="2:2" x14ac:dyDescent="0.35">
      <c r="B55" s="4"/>
    </row>
    <row r="56" spans="2:2" x14ac:dyDescent="0.35">
      <c r="B56" s="4"/>
    </row>
    <row r="57" spans="2:2" x14ac:dyDescent="0.35">
      <c r="B57" s="4"/>
    </row>
    <row r="58" spans="2:2" x14ac:dyDescent="0.35">
      <c r="B58" s="4"/>
    </row>
    <row r="59" spans="2:2" x14ac:dyDescent="0.35">
      <c r="B59" s="4"/>
    </row>
    <row r="60" spans="2:2" x14ac:dyDescent="0.35">
      <c r="B60" s="4"/>
    </row>
    <row r="61" spans="2:2" x14ac:dyDescent="0.35">
      <c r="B61" s="4"/>
    </row>
    <row r="62" spans="2:2" x14ac:dyDescent="0.35">
      <c r="B62" s="4"/>
    </row>
    <row r="63" spans="2:2" x14ac:dyDescent="0.35">
      <c r="B63" s="4"/>
    </row>
    <row r="64" spans="2:2" x14ac:dyDescent="0.35">
      <c r="B64" s="4"/>
    </row>
    <row r="65" spans="2:2" x14ac:dyDescent="0.35">
      <c r="B65" s="4"/>
    </row>
    <row r="66" spans="2:2" x14ac:dyDescent="0.35">
      <c r="B66" s="4"/>
    </row>
    <row r="67" spans="2:2" x14ac:dyDescent="0.35">
      <c r="B67" s="4"/>
    </row>
    <row r="68" spans="2:2" x14ac:dyDescent="0.35">
      <c r="B68" s="4"/>
    </row>
    <row r="69" spans="2:2" x14ac:dyDescent="0.35">
      <c r="B69" s="4"/>
    </row>
    <row r="70" spans="2:2" x14ac:dyDescent="0.35">
      <c r="B70" s="4"/>
    </row>
    <row r="71" spans="2:2" x14ac:dyDescent="0.35">
      <c r="B71" s="4"/>
    </row>
    <row r="72" spans="2:2" x14ac:dyDescent="0.35">
      <c r="B72" s="4"/>
    </row>
    <row r="73" spans="2:2" x14ac:dyDescent="0.35">
      <c r="B73" s="4"/>
    </row>
    <row r="74" spans="2:2" x14ac:dyDescent="0.35">
      <c r="B74" s="4"/>
    </row>
    <row r="75" spans="2:2" x14ac:dyDescent="0.35">
      <c r="B75" s="4"/>
    </row>
    <row r="76" spans="2:2" x14ac:dyDescent="0.35">
      <c r="B76" s="4"/>
    </row>
    <row r="77" spans="2:2" x14ac:dyDescent="0.35">
      <c r="B77" s="4"/>
    </row>
    <row r="78" spans="2:2" x14ac:dyDescent="0.35">
      <c r="B78" s="4"/>
    </row>
    <row r="79" spans="2:2" x14ac:dyDescent="0.35">
      <c r="B79" s="4"/>
    </row>
    <row r="80" spans="2:2" x14ac:dyDescent="0.35">
      <c r="B80" s="4"/>
    </row>
    <row r="81" spans="2:2" x14ac:dyDescent="0.35">
      <c r="B81" s="4"/>
    </row>
    <row r="82" spans="2:2" x14ac:dyDescent="0.35">
      <c r="B82" s="4"/>
    </row>
    <row r="83" spans="2:2" x14ac:dyDescent="0.35">
      <c r="B83" s="4"/>
    </row>
    <row r="84" spans="2:2" x14ac:dyDescent="0.35">
      <c r="B84" s="4"/>
    </row>
    <row r="85" spans="2:2" x14ac:dyDescent="0.35">
      <c r="B85" s="4"/>
    </row>
    <row r="86" spans="2:2" x14ac:dyDescent="0.35">
      <c r="B86" s="4"/>
    </row>
    <row r="87" spans="2:2" x14ac:dyDescent="0.35">
      <c r="B87" s="4"/>
    </row>
    <row r="88" spans="2:2" x14ac:dyDescent="0.35">
      <c r="B88" s="4"/>
    </row>
    <row r="89" spans="2:2" x14ac:dyDescent="0.35">
      <c r="B89" s="4"/>
    </row>
    <row r="90" spans="2:2" x14ac:dyDescent="0.35">
      <c r="B90" s="4"/>
    </row>
    <row r="91" spans="2:2" x14ac:dyDescent="0.35">
      <c r="B91" s="4"/>
    </row>
    <row r="92" spans="2:2" x14ac:dyDescent="0.35">
      <c r="B92" s="4"/>
    </row>
    <row r="93" spans="2:2" x14ac:dyDescent="0.35">
      <c r="B93" s="4"/>
    </row>
    <row r="94" spans="2:2" x14ac:dyDescent="0.35">
      <c r="B94" s="4"/>
    </row>
    <row r="95" spans="2:2" x14ac:dyDescent="0.35">
      <c r="B95" s="4"/>
    </row>
    <row r="96" spans="2:2" x14ac:dyDescent="0.35">
      <c r="B96" s="4"/>
    </row>
    <row r="97" spans="2:2" x14ac:dyDescent="0.35">
      <c r="B97" s="4"/>
    </row>
    <row r="98" spans="2:2" x14ac:dyDescent="0.35">
      <c r="B98" s="4"/>
    </row>
    <row r="99" spans="2:2" x14ac:dyDescent="0.35">
      <c r="B99" s="4"/>
    </row>
    <row r="100" spans="2:2" x14ac:dyDescent="0.35">
      <c r="B100" s="4"/>
    </row>
    <row r="101" spans="2:2" x14ac:dyDescent="0.35">
      <c r="B101" s="4"/>
    </row>
    <row r="102" spans="2:2" x14ac:dyDescent="0.35">
      <c r="B102" s="4"/>
    </row>
    <row r="103" spans="2:2" x14ac:dyDescent="0.35">
      <c r="B103" s="4"/>
    </row>
    <row r="104" spans="2:2" x14ac:dyDescent="0.35">
      <c r="B104" s="4"/>
    </row>
    <row r="105" spans="2:2" x14ac:dyDescent="0.35">
      <c r="B105" s="4"/>
    </row>
    <row r="106" spans="2:2" x14ac:dyDescent="0.35">
      <c r="B106" s="4"/>
    </row>
    <row r="107" spans="2:2" x14ac:dyDescent="0.35">
      <c r="B107" s="4"/>
    </row>
    <row r="108" spans="2:2" x14ac:dyDescent="0.35">
      <c r="B108" s="4"/>
    </row>
    <row r="109" spans="2:2" x14ac:dyDescent="0.35">
      <c r="B109" s="4"/>
    </row>
    <row r="110" spans="2:2" x14ac:dyDescent="0.35">
      <c r="B110" s="4"/>
    </row>
    <row r="111" spans="2:2" x14ac:dyDescent="0.35">
      <c r="B111" s="4"/>
    </row>
    <row r="112" spans="2:2" x14ac:dyDescent="0.35">
      <c r="B112" s="4"/>
    </row>
    <row r="113" spans="2:2" x14ac:dyDescent="0.35">
      <c r="B113" s="4"/>
    </row>
    <row r="114" spans="2:2" x14ac:dyDescent="0.35">
      <c r="B114" s="4"/>
    </row>
    <row r="115" spans="2:2" x14ac:dyDescent="0.35">
      <c r="B115" s="4"/>
    </row>
    <row r="116" spans="2:2" x14ac:dyDescent="0.35">
      <c r="B116" s="4"/>
    </row>
    <row r="117" spans="2:2" x14ac:dyDescent="0.35">
      <c r="B117" s="4"/>
    </row>
    <row r="118" spans="2:2" x14ac:dyDescent="0.35">
      <c r="B118" s="4"/>
    </row>
    <row r="119" spans="2:2" x14ac:dyDescent="0.35">
      <c r="B119" s="4"/>
    </row>
    <row r="120" spans="2:2" x14ac:dyDescent="0.35">
      <c r="B120" s="4"/>
    </row>
    <row r="121" spans="2:2" x14ac:dyDescent="0.35">
      <c r="B121" s="4"/>
    </row>
    <row r="122" spans="2:2" x14ac:dyDescent="0.35">
      <c r="B122" s="4"/>
    </row>
    <row r="123" spans="2:2" x14ac:dyDescent="0.35">
      <c r="B123" s="4"/>
    </row>
    <row r="124" spans="2:2" x14ac:dyDescent="0.35">
      <c r="B124" s="4"/>
    </row>
    <row r="125" spans="2:2" x14ac:dyDescent="0.35">
      <c r="B125" s="4"/>
    </row>
    <row r="126" spans="2:2" x14ac:dyDescent="0.35">
      <c r="B126" s="4"/>
    </row>
    <row r="127" spans="2:2" x14ac:dyDescent="0.35">
      <c r="B127" s="4"/>
    </row>
    <row r="128" spans="2:2" x14ac:dyDescent="0.35">
      <c r="B128" s="4"/>
    </row>
    <row r="129" spans="2:2" x14ac:dyDescent="0.35">
      <c r="B129" s="4"/>
    </row>
    <row r="130" spans="2:2" x14ac:dyDescent="0.35">
      <c r="B130" s="4"/>
    </row>
    <row r="131" spans="2:2" x14ac:dyDescent="0.35">
      <c r="B131" s="4"/>
    </row>
    <row r="132" spans="2:2" x14ac:dyDescent="0.35">
      <c r="B132" s="4"/>
    </row>
    <row r="133" spans="2:2" x14ac:dyDescent="0.35">
      <c r="B133" s="4"/>
    </row>
    <row r="134" spans="2:2" x14ac:dyDescent="0.35">
      <c r="B134" s="4"/>
    </row>
    <row r="135" spans="2:2" x14ac:dyDescent="0.35">
      <c r="B135" s="4"/>
    </row>
    <row r="136" spans="2:2" x14ac:dyDescent="0.35">
      <c r="B136" s="4"/>
    </row>
  </sheetData>
  <conditionalFormatting sqref="F1:G1">
    <cfRule type="cellIs" dxfId="12" priority="5" operator="equal">
      <formula>"no"</formula>
    </cfRule>
    <cfRule type="cellIs" dxfId="11" priority="6" operator="equal">
      <formula>"yes"</formula>
    </cfRule>
  </conditionalFormatting>
  <conditionalFormatting sqref="B1">
    <cfRule type="cellIs" dxfId="10" priority="4" operator="lessThan">
      <formula>44767</formula>
    </cfRule>
  </conditionalFormatting>
  <conditionalFormatting sqref="B1:B1048576">
    <cfRule type="cellIs" dxfId="9" priority="3" operator="lessThan">
      <formula>44788</formula>
    </cfRule>
  </conditionalFormatting>
  <conditionalFormatting sqref="F1:F1048576">
    <cfRule type="cellIs" dxfId="8" priority="1" operator="equal">
      <formula>"no"</formula>
    </cfRule>
    <cfRule type="cellIs" dxfId="7" priority="2" operator="equal">
      <formula>"yes"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BF0A5-C823-49A0-A89E-41B4E998318A}">
  <sheetPr codeName="reportS4vsPWC">
    <tabColor rgb="FF92D050"/>
  </sheetPr>
  <dimension ref="C1:G133"/>
  <sheetViews>
    <sheetView workbookViewId="0">
      <selection activeCell="D46" sqref="D46"/>
    </sheetView>
  </sheetViews>
  <sheetFormatPr defaultRowHeight="14.5" x14ac:dyDescent="0.35"/>
  <cols>
    <col min="1" max="1" width="17.7265625" bestFit="1" customWidth="1"/>
    <col min="2" max="2" width="12.6328125" bestFit="1" customWidth="1"/>
    <col min="3" max="3" width="15" bestFit="1" customWidth="1"/>
    <col min="5" max="5" width="9.90625" bestFit="1" customWidth="1"/>
  </cols>
  <sheetData>
    <row r="1" spans="3:7" x14ac:dyDescent="0.35">
      <c r="C1" t="s">
        <v>9</v>
      </c>
      <c r="D1" t="s">
        <v>10</v>
      </c>
      <c r="E1" t="s">
        <v>11</v>
      </c>
      <c r="F1" t="s">
        <v>12</v>
      </c>
      <c r="G1" t="s">
        <v>8</v>
      </c>
    </row>
    <row r="2" spans="3:7" x14ac:dyDescent="0.35">
      <c r="C2" t="e">
        <f>ROUND(-VLOOKUP(A2,PWC!A:P,16,0),0)</f>
        <v>#N/A</v>
      </c>
      <c r="D2" t="e">
        <f>IF(B2=C2,"yes","no")</f>
        <v>#N/A</v>
      </c>
      <c r="E2" s="4" t="e">
        <f>VLOOKUP(A2,PWC!A:J,10,0)</f>
        <v>#N/A</v>
      </c>
      <c r="F2" t="e">
        <f>VLOOKUP(A2,PWC!A:AB,28,0)</f>
        <v>#N/A</v>
      </c>
      <c r="G2" t="e">
        <f>B2/C2</f>
        <v>#N/A</v>
      </c>
    </row>
    <row r="3" spans="3:7" x14ac:dyDescent="0.35">
      <c r="E3" s="4"/>
    </row>
    <row r="4" spans="3:7" x14ac:dyDescent="0.35">
      <c r="E4" s="4"/>
    </row>
    <row r="5" spans="3:7" x14ac:dyDescent="0.35">
      <c r="E5" s="4"/>
    </row>
    <row r="6" spans="3:7" x14ac:dyDescent="0.35">
      <c r="E6" s="4"/>
    </row>
    <row r="7" spans="3:7" x14ac:dyDescent="0.35">
      <c r="E7" s="4"/>
    </row>
    <row r="8" spans="3:7" x14ac:dyDescent="0.35">
      <c r="E8" s="4"/>
    </row>
    <row r="9" spans="3:7" x14ac:dyDescent="0.35">
      <c r="E9" s="4"/>
    </row>
    <row r="10" spans="3:7" x14ac:dyDescent="0.35">
      <c r="E10" s="4"/>
    </row>
    <row r="11" spans="3:7" x14ac:dyDescent="0.35">
      <c r="E11" s="4"/>
    </row>
    <row r="12" spans="3:7" x14ac:dyDescent="0.35">
      <c r="E12" s="4"/>
    </row>
    <row r="13" spans="3:7" x14ac:dyDescent="0.35">
      <c r="E13" s="4"/>
    </row>
    <row r="14" spans="3:7" x14ac:dyDescent="0.35">
      <c r="E14" s="4"/>
    </row>
    <row r="15" spans="3:7" x14ac:dyDescent="0.35">
      <c r="E15" s="4"/>
    </row>
    <row r="16" spans="3:7" x14ac:dyDescent="0.35">
      <c r="E16" s="4"/>
    </row>
    <row r="17" spans="5:5" x14ac:dyDescent="0.35">
      <c r="E17" s="4"/>
    </row>
    <row r="18" spans="5:5" x14ac:dyDescent="0.35">
      <c r="E18" s="4"/>
    </row>
    <row r="19" spans="5:5" x14ac:dyDescent="0.35">
      <c r="E19" s="4"/>
    </row>
    <row r="20" spans="5:5" x14ac:dyDescent="0.35">
      <c r="E20" s="4"/>
    </row>
    <row r="21" spans="5:5" x14ac:dyDescent="0.35">
      <c r="E21" s="4"/>
    </row>
    <row r="22" spans="5:5" x14ac:dyDescent="0.35">
      <c r="E22" s="4"/>
    </row>
    <row r="23" spans="5:5" x14ac:dyDescent="0.35">
      <c r="E23" s="4"/>
    </row>
    <row r="24" spans="5:5" x14ac:dyDescent="0.35">
      <c r="E24" s="4"/>
    </row>
    <row r="25" spans="5:5" x14ac:dyDescent="0.35">
      <c r="E25" s="4"/>
    </row>
    <row r="26" spans="5:5" x14ac:dyDescent="0.35">
      <c r="E26" s="4"/>
    </row>
    <row r="27" spans="5:5" x14ac:dyDescent="0.35">
      <c r="E27" s="4"/>
    </row>
    <row r="28" spans="5:5" x14ac:dyDescent="0.35">
      <c r="E28" s="4"/>
    </row>
    <row r="29" spans="5:5" x14ac:dyDescent="0.35">
      <c r="E29" s="4"/>
    </row>
    <row r="30" spans="5:5" x14ac:dyDescent="0.35">
      <c r="E30" s="4"/>
    </row>
    <row r="31" spans="5:5" x14ac:dyDescent="0.35">
      <c r="E31" s="4"/>
    </row>
    <row r="32" spans="5:5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7" x14ac:dyDescent="0.35">
      <c r="E49" s="4"/>
    </row>
    <row r="50" spans="5:7" x14ac:dyDescent="0.35">
      <c r="E50" s="4"/>
    </row>
    <row r="51" spans="5:7" x14ac:dyDescent="0.35">
      <c r="E51" s="4"/>
    </row>
    <row r="52" spans="5:7" x14ac:dyDescent="0.35">
      <c r="E52" s="4"/>
    </row>
    <row r="53" spans="5:7" x14ac:dyDescent="0.35">
      <c r="E53" s="4"/>
    </row>
    <row r="54" spans="5:7" x14ac:dyDescent="0.35">
      <c r="E54" s="4"/>
    </row>
    <row r="55" spans="5:7" x14ac:dyDescent="0.35">
      <c r="E55" s="4"/>
    </row>
    <row r="56" spans="5:7" x14ac:dyDescent="0.35">
      <c r="E56" s="4"/>
    </row>
    <row r="57" spans="5:7" x14ac:dyDescent="0.35">
      <c r="E57" s="4"/>
    </row>
    <row r="58" spans="5:7" x14ac:dyDescent="0.35">
      <c r="E58" s="4"/>
    </row>
    <row r="59" spans="5:7" x14ac:dyDescent="0.35">
      <c r="E59" s="4"/>
    </row>
    <row r="60" spans="5:7" x14ac:dyDescent="0.35">
      <c r="E60" s="4"/>
    </row>
    <row r="61" spans="5:7" x14ac:dyDescent="0.35">
      <c r="E61" s="4"/>
    </row>
    <row r="62" spans="5:7" x14ac:dyDescent="0.35">
      <c r="E62" s="4"/>
    </row>
    <row r="63" spans="5:7" x14ac:dyDescent="0.35">
      <c r="E63" s="5"/>
      <c r="F63" s="1"/>
      <c r="G63" s="1"/>
    </row>
    <row r="64" spans="5:7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7" x14ac:dyDescent="0.35">
      <c r="E97" s="4"/>
    </row>
    <row r="98" spans="5:7" x14ac:dyDescent="0.35">
      <c r="E98" s="4"/>
    </row>
    <row r="99" spans="5:7" x14ac:dyDescent="0.35">
      <c r="E99" s="4"/>
    </row>
    <row r="100" spans="5:7" x14ac:dyDescent="0.35">
      <c r="E100" s="4"/>
    </row>
    <row r="101" spans="5:7" x14ac:dyDescent="0.35">
      <c r="E101" s="4"/>
    </row>
    <row r="102" spans="5:7" x14ac:dyDescent="0.35">
      <c r="E102" s="5"/>
      <c r="F102" s="1"/>
      <c r="G102" s="1"/>
    </row>
    <row r="103" spans="5:7" x14ac:dyDescent="0.35">
      <c r="E103" s="4"/>
    </row>
    <row r="104" spans="5:7" x14ac:dyDescent="0.35">
      <c r="E104" s="4"/>
    </row>
    <row r="105" spans="5:7" x14ac:dyDescent="0.35">
      <c r="E105" s="4"/>
    </row>
    <row r="106" spans="5:7" x14ac:dyDescent="0.35">
      <c r="E106" s="4"/>
    </row>
    <row r="107" spans="5:7" x14ac:dyDescent="0.35">
      <c r="E107" s="4"/>
    </row>
    <row r="108" spans="5:7" x14ac:dyDescent="0.35">
      <c r="E108" s="4"/>
    </row>
    <row r="109" spans="5:7" x14ac:dyDescent="0.35">
      <c r="E109" s="4"/>
    </row>
    <row r="110" spans="5:7" x14ac:dyDescent="0.35">
      <c r="E110" s="4"/>
    </row>
    <row r="111" spans="5:7" x14ac:dyDescent="0.35">
      <c r="E111" s="4"/>
    </row>
    <row r="112" spans="5:7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</sheetData>
  <conditionalFormatting sqref="G1">
    <cfRule type="cellIs" dxfId="6" priority="6" operator="equal">
      <formula>"no"</formula>
    </cfRule>
    <cfRule type="cellIs" dxfId="5" priority="7" operator="equal">
      <formula>"yes"</formula>
    </cfRule>
  </conditionalFormatting>
  <conditionalFormatting sqref="D1">
    <cfRule type="cellIs" dxfId="4" priority="4" operator="equal">
      <formula>"no"</formula>
    </cfRule>
    <cfRule type="cellIs" dxfId="3" priority="5" operator="equal">
      <formula>"yes"</formula>
    </cfRule>
  </conditionalFormatting>
  <conditionalFormatting sqref="E1">
    <cfRule type="cellIs" dxfId="2" priority="3" operator="lessThan">
      <formula>44767</formula>
    </cfRule>
  </conditionalFormatting>
  <conditionalFormatting sqref="D1:D1048576">
    <cfRule type="cellIs" dxfId="1" priority="1" operator="equal">
      <formula>"no"</formula>
    </cfRule>
    <cfRule type="cellIs" dxfId="0" priority="2" operator="equal">
      <formula>"yes"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Start</vt:lpstr>
      <vt:lpstr>PWC</vt:lpstr>
      <vt:lpstr>S4</vt:lpstr>
      <vt:lpstr>non-reportable</vt:lpstr>
      <vt:lpstr>PWC status</vt:lpstr>
      <vt:lpstr>PWC vs S4</vt:lpstr>
      <vt:lpstr>S4 vs PWC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Prokop, Mateusz</cp:lastModifiedBy>
  <dcterms:created xsi:type="dcterms:W3CDTF">2022-08-18T07:13:19Z</dcterms:created>
  <dcterms:modified xsi:type="dcterms:W3CDTF">2023-06-04T09:14:10Z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2.3.0</vt:lpwstr>
  </property>
</Properties>
</file>